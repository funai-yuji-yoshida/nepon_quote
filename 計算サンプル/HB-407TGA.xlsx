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4237\Desktop\Launcher\開発\ZOHO\ネポン見積\計算サンプル\"/>
    </mc:Choice>
  </mc:AlternateContent>
  <xr:revisionPtr revIDLastSave="0" documentId="8_{88F7DABC-B9E0-4B6E-B991-A5806D00D856}" xr6:coauthVersionLast="47" xr6:coauthVersionMax="47" xr10:uidLastSave="{00000000-0000-0000-0000-000000000000}"/>
  <bookViews>
    <workbookView xWindow="-108" yWindow="-108" windowWidth="23256" windowHeight="12456" xr2:uid="{777B7DC7-66D5-4345-80F2-9BBACF245E19}"/>
  </bookViews>
  <sheets>
    <sheet name="HB-407TG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5" i="1" l="1"/>
  <c r="G25" i="1"/>
  <c r="I24" i="1"/>
  <c r="G24" i="1"/>
  <c r="I23" i="1"/>
  <c r="G23" i="1"/>
  <c r="I22" i="1"/>
  <c r="G22" i="1"/>
  <c r="I21" i="1"/>
  <c r="G21" i="1"/>
  <c r="I20" i="1"/>
  <c r="G20" i="1"/>
  <c r="I19" i="1"/>
  <c r="G19" i="1"/>
  <c r="I18" i="1"/>
  <c r="G18" i="1"/>
  <c r="I17" i="1"/>
  <c r="G17" i="1"/>
  <c r="I16" i="1"/>
  <c r="G16" i="1"/>
  <c r="I15" i="1"/>
  <c r="G15" i="1"/>
  <c r="I14" i="1"/>
  <c r="G14" i="1"/>
  <c r="I13" i="1"/>
  <c r="G13" i="1"/>
  <c r="I12" i="1"/>
  <c r="G12" i="1"/>
  <c r="I11" i="1"/>
  <c r="G11" i="1"/>
  <c r="I10" i="1"/>
  <c r="G10" i="1"/>
  <c r="I9" i="1"/>
  <c r="G9" i="1"/>
  <c r="I8" i="1"/>
  <c r="G8" i="1"/>
  <c r="I7" i="1"/>
  <c r="G7" i="1"/>
  <c r="I6" i="1"/>
  <c r="G6" i="1"/>
  <c r="I5" i="1"/>
  <c r="G5" i="1"/>
  <c r="I4" i="1"/>
  <c r="G4" i="1"/>
  <c r="I3" i="1"/>
  <c r="G3" i="1"/>
  <c r="I2" i="1"/>
  <c r="G2" i="1"/>
</calcChain>
</file>

<file path=xl/sharedStrings.xml><?xml version="1.0" encoding="utf-8"?>
<sst xmlns="http://schemas.openxmlformats.org/spreadsheetml/2006/main" count="71" uniqueCount="42">
  <si>
    <t>No</t>
    <phoneticPr fontId="5"/>
  </si>
  <si>
    <t>品　　　名</t>
    <rPh sb="0" eb="5">
      <t>ヒンメイ</t>
    </rPh>
    <phoneticPr fontId="5"/>
  </si>
  <si>
    <t>数量</t>
    <rPh sb="0" eb="2">
      <t>スウリョウ</t>
    </rPh>
    <phoneticPr fontId="5"/>
  </si>
  <si>
    <t>単位</t>
    <rPh sb="0" eb="2">
      <t>タンイ</t>
    </rPh>
    <phoneticPr fontId="5"/>
  </si>
  <si>
    <t>単　価</t>
    <rPh sb="0" eb="3">
      <t>タンカ</t>
    </rPh>
    <phoneticPr fontId="5"/>
  </si>
  <si>
    <t>金　額</t>
    <rPh sb="0" eb="3">
      <t>キンガク</t>
    </rPh>
    <phoneticPr fontId="5"/>
  </si>
  <si>
    <t>原　価</t>
    <rPh sb="0" eb="3">
      <t>ゲンカ</t>
    </rPh>
    <phoneticPr fontId="5"/>
  </si>
  <si>
    <t>歩単</t>
    <rPh sb="0" eb="1">
      <t>ブ</t>
    </rPh>
    <rPh sb="1" eb="2">
      <t>タン</t>
    </rPh>
    <phoneticPr fontId="5"/>
  </si>
  <si>
    <t>歩工</t>
    <rPh sb="0" eb="1">
      <t>ブ</t>
    </rPh>
    <rPh sb="1" eb="2">
      <t>コウ</t>
    </rPh>
    <phoneticPr fontId="5"/>
  </si>
  <si>
    <t xml:space="preserve"> ※ボイラ及びボイラ回り設備工事</t>
  </si>
  <si>
    <t>台</t>
  </si>
  <si>
    <t>Ca</t>
  </si>
  <si>
    <t>④同上搬入据付工事</t>
  </si>
  <si>
    <t>式</t>
  </si>
  <si>
    <t>③感震器　BES-100</t>
  </si>
  <si>
    <t>個</t>
  </si>
  <si>
    <t>Cc</t>
  </si>
  <si>
    <t>○煙突ｾｯﾄ　BEP-HB1201</t>
  </si>
  <si>
    <t>ｾｯﾄ</t>
  </si>
  <si>
    <t>○煙突直管 　φ120</t>
  </si>
  <si>
    <t>本</t>
  </si>
  <si>
    <t>○煙突ｴﾋﾞﾏｶﾞﾘ 　φ120</t>
  </si>
  <si>
    <t>②煙突支持金具</t>
  </si>
  <si>
    <t>④煙道・煙突取付工事</t>
  </si>
  <si>
    <t>④煙道断熱工事　ﾛｯｸｳｰﾙ</t>
  </si>
  <si>
    <t>①SGP鋼管(白)　40A</t>
  </si>
  <si>
    <t>m</t>
  </si>
  <si>
    <t>Cb</t>
  </si>
  <si>
    <t>①SGP鋼管(白)　25A</t>
  </si>
  <si>
    <t>①SGP鋼管(白)　15A</t>
  </si>
  <si>
    <t>①ｹﾞｰﾄ弁　40A</t>
  </si>
  <si>
    <t>①ｹﾞｰﾄ弁　25A</t>
  </si>
  <si>
    <t>①ｹﾞｰﾄ弁　15A</t>
  </si>
  <si>
    <t>①ﾁｬｯｷ弁　40A(ｽｲﾝｸﾞ)</t>
  </si>
  <si>
    <t>①Yｽﾄﾚｰﾅ　15A</t>
  </si>
  <si>
    <t>①フレキシブルホース3/8B1500L</t>
  </si>
  <si>
    <t>①配管継手類</t>
  </si>
  <si>
    <t>④配管工事費</t>
  </si>
  <si>
    <t>④配管塗装工事</t>
  </si>
  <si>
    <t>②消耗品雑材</t>
  </si>
  <si>
    <t>-----小計-----</t>
  </si>
  <si>
    <t>○ﾊｳｽﾎﾞｲﾗ　HB-407TGA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</si>
</sst>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6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2" fillId="2" borderId="1" xfId="0" applyFont="1" applyFill="1" applyBorder="1" applyAlignment="1" applyProtection="1">
      <protection hidden="1"/>
    </xf>
    <xf numFmtId="0" fontId="4" fillId="2" borderId="2" xfId="0" applyFont="1" applyFill="1" applyBorder="1" applyAlignment="1" applyProtection="1">
      <alignment horizontal="center" vertical="center"/>
      <protection hidden="1"/>
    </xf>
    <xf numFmtId="176" fontId="4" fillId="3" borderId="2" xfId="0" applyNumberFormat="1" applyFont="1" applyFill="1" applyBorder="1" applyAlignment="1" applyProtection="1">
      <alignment horizontal="center" vertical="center"/>
      <protection hidden="1"/>
    </xf>
    <xf numFmtId="0" fontId="4" fillId="2" borderId="3" xfId="0" applyFont="1" applyFill="1" applyBorder="1" applyAlignment="1" applyProtection="1">
      <protection hidden="1"/>
    </xf>
    <xf numFmtId="0" fontId="4" fillId="4" borderId="4" xfId="0" applyFont="1" applyFill="1" applyBorder="1" applyAlignment="1" applyProtection="1">
      <protection locked="0" hidden="1"/>
    </xf>
    <xf numFmtId="0" fontId="4" fillId="0" borderId="3" xfId="0" applyFont="1" applyBorder="1" applyAlignment="1" applyProtection="1">
      <protection locked="0" hidden="1"/>
    </xf>
    <xf numFmtId="0" fontId="4" fillId="4" borderId="5" xfId="0" applyFont="1" applyFill="1" applyBorder="1" applyAlignment="1" applyProtection="1">
      <protection locked="0" hidden="1"/>
    </xf>
    <xf numFmtId="0" fontId="4" fillId="4" borderId="6" xfId="0" applyFont="1" applyFill="1" applyBorder="1" applyAlignment="1" applyProtection="1">
      <alignment horizontal="center"/>
      <protection locked="0" hidden="1"/>
    </xf>
    <xf numFmtId="38" fontId="4" fillId="0" borderId="7" xfId="1" applyFont="1" applyFill="1" applyBorder="1" applyAlignment="1" applyProtection="1">
      <protection locked="0" hidden="1"/>
    </xf>
    <xf numFmtId="38" fontId="4" fillId="0" borderId="6" xfId="1" applyFont="1" applyFill="1" applyBorder="1" applyAlignment="1" applyProtection="1">
      <protection hidden="1"/>
    </xf>
    <xf numFmtId="38" fontId="4" fillId="4" borderId="7" xfId="1" applyFont="1" applyFill="1" applyBorder="1" applyAlignment="1" applyProtection="1">
      <protection locked="0" hidden="1"/>
    </xf>
    <xf numFmtId="38" fontId="4" fillId="4" borderId="8" xfId="1" applyFont="1" applyFill="1" applyBorder="1" applyAlignment="1" applyProtection="1">
      <protection hidden="1"/>
    </xf>
    <xf numFmtId="176" fontId="4" fillId="5" borderId="7" xfId="1" applyNumberFormat="1" applyFont="1" applyFill="1" applyBorder="1" applyAlignment="1" applyProtection="1">
      <protection locked="0" hidden="1"/>
    </xf>
    <xf numFmtId="176" fontId="4" fillId="5" borderId="6" xfId="1" applyNumberFormat="1" applyFont="1" applyFill="1" applyBorder="1" applyAlignment="1" applyProtection="1">
      <protection locked="0" hidden="1"/>
    </xf>
    <xf numFmtId="0" fontId="4" fillId="2" borderId="9" xfId="0" applyFont="1" applyFill="1" applyBorder="1" applyAlignment="1" applyProtection="1">
      <protection hidden="1"/>
    </xf>
    <xf numFmtId="0" fontId="4" fillId="4" borderId="10" xfId="0" applyFont="1" applyFill="1" applyBorder="1" applyAlignment="1" applyProtection="1">
      <protection locked="0" hidden="1"/>
    </xf>
    <xf numFmtId="0" fontId="4" fillId="0" borderId="9" xfId="0" applyFont="1" applyBorder="1" applyAlignment="1" applyProtection="1">
      <protection locked="0" hidden="1"/>
    </xf>
    <xf numFmtId="0" fontId="4" fillId="4" borderId="11" xfId="0" applyFont="1" applyFill="1" applyBorder="1" applyAlignment="1" applyProtection="1">
      <protection locked="0" hidden="1"/>
    </xf>
    <xf numFmtId="0" fontId="4" fillId="4" borderId="12" xfId="0" applyFont="1" applyFill="1" applyBorder="1" applyAlignment="1" applyProtection="1">
      <alignment horizontal="center"/>
      <protection locked="0" hidden="1"/>
    </xf>
    <xf numFmtId="38" fontId="4" fillId="0" borderId="13" xfId="1" applyFont="1" applyFill="1" applyBorder="1" applyAlignment="1" applyProtection="1">
      <protection locked="0" hidden="1"/>
    </xf>
    <xf numFmtId="38" fontId="4" fillId="4" borderId="13" xfId="1" applyFont="1" applyFill="1" applyBorder="1" applyAlignment="1" applyProtection="1">
      <protection locked="0" hidden="1"/>
    </xf>
    <xf numFmtId="176" fontId="4" fillId="5" borderId="13" xfId="1" applyNumberFormat="1" applyFont="1" applyFill="1" applyBorder="1" applyAlignment="1" applyProtection="1">
      <protection locked="0" hidden="1"/>
    </xf>
    <xf numFmtId="0" fontId="4" fillId="2" borderId="14" xfId="0" applyFont="1" applyFill="1" applyBorder="1" applyAlignment="1" applyProtection="1">
      <protection hidden="1"/>
    </xf>
    <xf numFmtId="0" fontId="4" fillId="4" borderId="15" xfId="0" applyFont="1" applyFill="1" applyBorder="1" applyAlignment="1" applyProtection="1">
      <protection locked="0" hidden="1"/>
    </xf>
    <xf numFmtId="0" fontId="4" fillId="0" borderId="14" xfId="0" applyFont="1" applyBorder="1" applyAlignment="1" applyProtection="1">
      <protection locked="0" hidden="1"/>
    </xf>
    <xf numFmtId="0" fontId="4" fillId="4" borderId="16" xfId="0" applyFont="1" applyFill="1" applyBorder="1" applyAlignment="1" applyProtection="1">
      <protection locked="0" hidden="1"/>
    </xf>
    <xf numFmtId="0" fontId="4" fillId="4" borderId="17" xfId="0" applyFont="1" applyFill="1" applyBorder="1" applyAlignment="1" applyProtection="1">
      <alignment horizontal="center"/>
      <protection locked="0" hidden="1"/>
    </xf>
    <xf numFmtId="38" fontId="4" fillId="0" borderId="18" xfId="1" applyFont="1" applyFill="1" applyBorder="1" applyAlignment="1" applyProtection="1">
      <protection locked="0" hidden="1"/>
    </xf>
    <xf numFmtId="38" fontId="4" fillId="0" borderId="17" xfId="1" applyFont="1" applyFill="1" applyBorder="1" applyAlignment="1" applyProtection="1">
      <protection hidden="1"/>
    </xf>
    <xf numFmtId="38" fontId="4" fillId="4" borderId="18" xfId="1" applyFont="1" applyFill="1" applyBorder="1" applyAlignment="1" applyProtection="1">
      <protection locked="0" hidden="1"/>
    </xf>
    <xf numFmtId="38" fontId="4" fillId="4" borderId="17" xfId="1" applyFont="1" applyFill="1" applyBorder="1" applyAlignment="1" applyProtection="1">
      <protection hidden="1"/>
    </xf>
    <xf numFmtId="176" fontId="4" fillId="5" borderId="18" xfId="1" applyNumberFormat="1" applyFont="1" applyFill="1" applyBorder="1" applyAlignment="1" applyProtection="1">
      <protection locked="0" hidden="1"/>
    </xf>
    <xf numFmtId="176" fontId="4" fillId="5" borderId="17" xfId="1" applyNumberFormat="1" applyFont="1" applyFill="1" applyBorder="1" applyAlignment="1" applyProtection="1">
      <protection locked="0" hidden="1"/>
    </xf>
    <xf numFmtId="0" fontId="4" fillId="2" borderId="19" xfId="0" applyFont="1" applyFill="1" applyBorder="1" applyAlignment="1" applyProtection="1">
      <protection hidden="1"/>
    </xf>
    <xf numFmtId="0" fontId="4" fillId="4" borderId="20" xfId="0" applyFont="1" applyFill="1" applyBorder="1" applyAlignment="1" applyProtection="1">
      <protection locked="0" hidden="1"/>
    </xf>
    <xf numFmtId="0" fontId="4" fillId="0" borderId="19" xfId="0" applyFont="1" applyBorder="1" applyAlignment="1" applyProtection="1">
      <protection locked="0" hidden="1"/>
    </xf>
    <xf numFmtId="0" fontId="4" fillId="4" borderId="21" xfId="0" applyFont="1" applyFill="1" applyBorder="1" applyAlignment="1" applyProtection="1">
      <protection locked="0" hidden="1"/>
    </xf>
    <xf numFmtId="0" fontId="4" fillId="4" borderId="22" xfId="0" applyFont="1" applyFill="1" applyBorder="1" applyAlignment="1" applyProtection="1">
      <alignment horizontal="center"/>
      <protection locked="0" hidden="1"/>
    </xf>
    <xf numFmtId="38" fontId="4" fillId="0" borderId="23" xfId="1" applyFont="1" applyFill="1" applyBorder="1" applyAlignment="1" applyProtection="1">
      <protection locked="0" hidden="1"/>
    </xf>
    <xf numFmtId="38" fontId="4" fillId="0" borderId="22" xfId="1" applyFont="1" applyFill="1" applyBorder="1" applyAlignment="1" applyProtection="1">
      <protection hidden="1"/>
    </xf>
    <xf numFmtId="38" fontId="4" fillId="4" borderId="23" xfId="1" applyFont="1" applyFill="1" applyBorder="1" applyAlignment="1" applyProtection="1">
      <protection locked="0" hidden="1"/>
    </xf>
    <xf numFmtId="38" fontId="4" fillId="4" borderId="22" xfId="1" applyFont="1" applyFill="1" applyBorder="1" applyAlignment="1" applyProtection="1">
      <protection hidden="1"/>
    </xf>
    <xf numFmtId="176" fontId="4" fillId="5" borderId="23" xfId="1" applyNumberFormat="1" applyFont="1" applyFill="1" applyBorder="1" applyAlignment="1" applyProtection="1">
      <protection locked="0" hidden="1"/>
    </xf>
    <xf numFmtId="176" fontId="4" fillId="5" borderId="22" xfId="1" applyNumberFormat="1" applyFont="1" applyFill="1" applyBorder="1" applyAlignment="1" applyProtection="1">
      <protection locked="0" hidden="1"/>
    </xf>
    <xf numFmtId="0" fontId="4" fillId="2" borderId="24" xfId="0" applyFont="1" applyFill="1" applyBorder="1" applyAlignment="1" applyProtection="1">
      <protection hidden="1"/>
    </xf>
    <xf numFmtId="0" fontId="4" fillId="0" borderId="24" xfId="0" applyFont="1" applyBorder="1" applyAlignment="1" applyProtection="1">
      <protection locked="0" hidden="1"/>
    </xf>
    <xf numFmtId="0" fontId="4" fillId="4" borderId="25" xfId="0" applyFont="1" applyFill="1" applyBorder="1" applyAlignment="1" applyProtection="1">
      <protection locked="0" hidden="1"/>
    </xf>
    <xf numFmtId="0" fontId="4" fillId="4" borderId="26" xfId="0" applyFont="1" applyFill="1" applyBorder="1" applyAlignment="1" applyProtection="1">
      <alignment horizontal="center"/>
      <protection locked="0" hidden="1"/>
    </xf>
    <xf numFmtId="38" fontId="4" fillId="0" borderId="27" xfId="1" applyFont="1" applyFill="1" applyBorder="1" applyAlignment="1" applyProtection="1">
      <protection locked="0" hidden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9F7B-9B8F-423B-95CC-14D8715EB5FD}">
  <dimension ref="A1:K25"/>
  <sheetViews>
    <sheetView tabSelected="1" workbookViewId="0">
      <selection activeCell="C13" sqref="C13"/>
    </sheetView>
  </sheetViews>
  <sheetFormatPr defaultRowHeight="18" x14ac:dyDescent="0.45"/>
  <cols>
    <col min="1" max="2" width="3.19921875" bestFit="1" customWidth="1"/>
    <col min="3" max="3" width="31" bestFit="1" customWidth="1"/>
    <col min="4" max="5" width="5" bestFit="1" customWidth="1"/>
    <col min="6" max="7" width="9.5" bestFit="1" customWidth="1"/>
    <col min="8" max="9" width="7.69921875" bestFit="1" customWidth="1"/>
    <col min="10" max="11" width="5.8984375" bestFit="1" customWidth="1"/>
  </cols>
  <sheetData>
    <row r="1" spans="1:11" ht="19.8" thickBo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5</v>
      </c>
      <c r="J1" s="3" t="s">
        <v>7</v>
      </c>
      <c r="K1" s="3" t="s">
        <v>8</v>
      </c>
    </row>
    <row r="2" spans="1:11" x14ac:dyDescent="0.2">
      <c r="A2" s="4">
        <v>1</v>
      </c>
      <c r="B2" s="5">
        <v>1</v>
      </c>
      <c r="C2" s="6" t="s">
        <v>9</v>
      </c>
      <c r="D2" s="7"/>
      <c r="E2" s="8"/>
      <c r="F2" s="9"/>
      <c r="G2" s="10">
        <f>D2*F2</f>
        <v>0</v>
      </c>
      <c r="H2" s="11"/>
      <c r="I2" s="12">
        <f>D2*H2</f>
        <v>0</v>
      </c>
      <c r="J2" s="13"/>
      <c r="K2" s="14"/>
    </row>
    <row r="3" spans="1:11" x14ac:dyDescent="0.2">
      <c r="A3" s="15">
        <v>2</v>
      </c>
      <c r="B3" s="16"/>
      <c r="C3" s="17" t="s">
        <v>41</v>
      </c>
      <c r="D3" s="18">
        <v>1</v>
      </c>
      <c r="E3" s="19" t="s">
        <v>10</v>
      </c>
      <c r="F3" s="20">
        <v>944000</v>
      </c>
      <c r="G3" s="10">
        <f>D3*F3</f>
        <v>944000</v>
      </c>
      <c r="H3" s="21">
        <v>458400</v>
      </c>
      <c r="I3" s="12">
        <f>D3*H3</f>
        <v>458400</v>
      </c>
      <c r="J3" s="22">
        <v>1.1499999999999999</v>
      </c>
      <c r="K3" s="14" t="s">
        <v>11</v>
      </c>
    </row>
    <row r="4" spans="1:11" x14ac:dyDescent="0.2">
      <c r="A4" s="15">
        <v>3</v>
      </c>
      <c r="B4" s="16"/>
      <c r="C4" s="17" t="s">
        <v>12</v>
      </c>
      <c r="D4" s="18">
        <v>1</v>
      </c>
      <c r="E4" s="19" t="s">
        <v>13</v>
      </c>
      <c r="F4" s="20">
        <v>55000</v>
      </c>
      <c r="G4" s="10">
        <f>D4*F4</f>
        <v>55000</v>
      </c>
      <c r="H4" s="21">
        <v>34000</v>
      </c>
      <c r="I4" s="12">
        <f>D4*H4</f>
        <v>34000</v>
      </c>
      <c r="J4" s="22"/>
      <c r="K4" s="14">
        <v>1.1499999999999999</v>
      </c>
    </row>
    <row r="5" spans="1:11" x14ac:dyDescent="0.2">
      <c r="A5" s="4">
        <v>4</v>
      </c>
      <c r="B5" s="16"/>
      <c r="C5" s="6" t="s">
        <v>14</v>
      </c>
      <c r="D5" s="7">
        <v>1</v>
      </c>
      <c r="E5" s="8" t="s">
        <v>15</v>
      </c>
      <c r="F5" s="9">
        <v>20100</v>
      </c>
      <c r="G5" s="10">
        <f>D5*F5</f>
        <v>20100</v>
      </c>
      <c r="H5" s="11">
        <v>5580</v>
      </c>
      <c r="I5" s="12">
        <f>D5*H5</f>
        <v>5580</v>
      </c>
      <c r="J5" s="13">
        <v>0</v>
      </c>
      <c r="K5" s="14" t="s">
        <v>16</v>
      </c>
    </row>
    <row r="6" spans="1:11" x14ac:dyDescent="0.2">
      <c r="A6" s="23">
        <v>5</v>
      </c>
      <c r="B6" s="24"/>
      <c r="C6" s="25" t="s">
        <v>17</v>
      </c>
      <c r="D6" s="26">
        <v>1</v>
      </c>
      <c r="E6" s="27" t="s">
        <v>18</v>
      </c>
      <c r="F6" s="28">
        <v>65700</v>
      </c>
      <c r="G6" s="29">
        <f t="shared" ref="G6:G25" si="0">D6*F6</f>
        <v>65700</v>
      </c>
      <c r="H6" s="30">
        <v>23160</v>
      </c>
      <c r="I6" s="31">
        <f t="shared" ref="I6:I25" si="1">D6*H6</f>
        <v>23160</v>
      </c>
      <c r="J6" s="32">
        <v>0.5</v>
      </c>
      <c r="K6" s="33" t="s">
        <v>11</v>
      </c>
    </row>
    <row r="7" spans="1:11" x14ac:dyDescent="0.2">
      <c r="A7" s="4">
        <v>6</v>
      </c>
      <c r="B7" s="5"/>
      <c r="C7" s="6" t="s">
        <v>19</v>
      </c>
      <c r="D7" s="7">
        <v>1</v>
      </c>
      <c r="E7" s="8" t="s">
        <v>20</v>
      </c>
      <c r="F7" s="9">
        <v>8470</v>
      </c>
      <c r="G7" s="10">
        <f t="shared" si="0"/>
        <v>8470</v>
      </c>
      <c r="H7" s="11">
        <v>2090</v>
      </c>
      <c r="I7" s="12">
        <f t="shared" si="1"/>
        <v>2090</v>
      </c>
      <c r="J7" s="13">
        <v>0.1</v>
      </c>
      <c r="K7" s="14" t="s">
        <v>11</v>
      </c>
    </row>
    <row r="8" spans="1:11" x14ac:dyDescent="0.2">
      <c r="A8" s="15">
        <v>7</v>
      </c>
      <c r="B8" s="16"/>
      <c r="C8" s="17" t="s">
        <v>21</v>
      </c>
      <c r="D8" s="18">
        <v>1</v>
      </c>
      <c r="E8" s="19" t="s">
        <v>15</v>
      </c>
      <c r="F8" s="20">
        <v>6490</v>
      </c>
      <c r="G8" s="10">
        <f t="shared" si="0"/>
        <v>6490</v>
      </c>
      <c r="H8" s="21">
        <v>1360</v>
      </c>
      <c r="I8" s="12">
        <f t="shared" si="1"/>
        <v>1360</v>
      </c>
      <c r="J8" s="22">
        <v>0.1</v>
      </c>
      <c r="K8" s="14" t="s">
        <v>11</v>
      </c>
    </row>
    <row r="9" spans="1:11" x14ac:dyDescent="0.2">
      <c r="A9" s="15">
        <v>8</v>
      </c>
      <c r="B9" s="16"/>
      <c r="C9" s="17" t="s">
        <v>22</v>
      </c>
      <c r="D9" s="18">
        <v>1</v>
      </c>
      <c r="E9" s="19" t="s">
        <v>13</v>
      </c>
      <c r="F9" s="20">
        <v>18000</v>
      </c>
      <c r="G9" s="10">
        <f t="shared" si="0"/>
        <v>18000</v>
      </c>
      <c r="H9" s="21">
        <v>12000</v>
      </c>
      <c r="I9" s="12">
        <f t="shared" si="1"/>
        <v>12000</v>
      </c>
      <c r="J9" s="22">
        <v>0</v>
      </c>
      <c r="K9" s="14"/>
    </row>
    <row r="10" spans="1:11" x14ac:dyDescent="0.2">
      <c r="A10" s="15">
        <v>9</v>
      </c>
      <c r="B10" s="16"/>
      <c r="C10" s="17" t="s">
        <v>23</v>
      </c>
      <c r="D10" s="18">
        <v>1</v>
      </c>
      <c r="E10" s="19" t="s">
        <v>13</v>
      </c>
      <c r="F10" s="20">
        <v>33000</v>
      </c>
      <c r="G10" s="10">
        <f t="shared" si="0"/>
        <v>33000</v>
      </c>
      <c r="H10" s="21">
        <v>21000</v>
      </c>
      <c r="I10" s="12">
        <f t="shared" si="1"/>
        <v>21000</v>
      </c>
      <c r="J10" s="22"/>
      <c r="K10" s="14">
        <v>0.7</v>
      </c>
    </row>
    <row r="11" spans="1:11" ht="18.600000000000001" thickBot="1" x14ac:dyDescent="0.25">
      <c r="A11" s="34">
        <v>10</v>
      </c>
      <c r="B11" s="35"/>
      <c r="C11" s="36" t="s">
        <v>24</v>
      </c>
      <c r="D11" s="37">
        <v>1</v>
      </c>
      <c r="E11" s="38" t="s">
        <v>13</v>
      </c>
      <c r="F11" s="39">
        <v>15000</v>
      </c>
      <c r="G11" s="40">
        <f t="shared" si="0"/>
        <v>15000</v>
      </c>
      <c r="H11" s="41">
        <v>10000</v>
      </c>
      <c r="I11" s="42">
        <f t="shared" si="1"/>
        <v>10000</v>
      </c>
      <c r="J11" s="43">
        <v>0</v>
      </c>
      <c r="K11" s="44"/>
    </row>
    <row r="12" spans="1:11" x14ac:dyDescent="0.2">
      <c r="A12" s="45">
        <v>11</v>
      </c>
      <c r="B12" s="5"/>
      <c r="C12" s="46" t="s">
        <v>25</v>
      </c>
      <c r="D12" s="47">
        <v>4</v>
      </c>
      <c r="E12" s="48" t="s">
        <v>26</v>
      </c>
      <c r="F12" s="49">
        <v>6910</v>
      </c>
      <c r="G12" s="10">
        <f t="shared" si="0"/>
        <v>27640</v>
      </c>
      <c r="H12" s="11">
        <v>3660</v>
      </c>
      <c r="I12" s="12">
        <f t="shared" si="1"/>
        <v>14640</v>
      </c>
      <c r="J12" s="13">
        <v>0.23</v>
      </c>
      <c r="K12" s="14" t="s">
        <v>27</v>
      </c>
    </row>
    <row r="13" spans="1:11" x14ac:dyDescent="0.2">
      <c r="A13" s="15">
        <v>12</v>
      </c>
      <c r="B13" s="16"/>
      <c r="C13" s="17" t="s">
        <v>28</v>
      </c>
      <c r="D13" s="18">
        <v>4</v>
      </c>
      <c r="E13" s="19" t="s">
        <v>26</v>
      </c>
      <c r="F13" s="20">
        <v>4540</v>
      </c>
      <c r="G13" s="10">
        <f t="shared" si="0"/>
        <v>18160</v>
      </c>
      <c r="H13" s="21">
        <v>2400</v>
      </c>
      <c r="I13" s="12">
        <f t="shared" si="1"/>
        <v>9600</v>
      </c>
      <c r="J13" s="22">
        <v>0.17</v>
      </c>
      <c r="K13" s="14" t="s">
        <v>27</v>
      </c>
    </row>
    <row r="14" spans="1:11" x14ac:dyDescent="0.2">
      <c r="A14" s="15">
        <v>13</v>
      </c>
      <c r="B14" s="16"/>
      <c r="C14" s="17" t="s">
        <v>29</v>
      </c>
      <c r="D14" s="18">
        <v>4</v>
      </c>
      <c r="E14" s="19" t="s">
        <v>26</v>
      </c>
      <c r="F14" s="20">
        <v>2650</v>
      </c>
      <c r="G14" s="10">
        <f t="shared" si="0"/>
        <v>10600</v>
      </c>
      <c r="H14" s="21">
        <v>1410</v>
      </c>
      <c r="I14" s="12">
        <f t="shared" si="1"/>
        <v>5640</v>
      </c>
      <c r="J14" s="22">
        <v>0.12</v>
      </c>
      <c r="K14" s="14" t="s">
        <v>27</v>
      </c>
    </row>
    <row r="15" spans="1:11" x14ac:dyDescent="0.2">
      <c r="A15" s="4">
        <v>14</v>
      </c>
      <c r="B15" s="16"/>
      <c r="C15" s="17" t="s">
        <v>30</v>
      </c>
      <c r="D15" s="18">
        <v>2</v>
      </c>
      <c r="E15" s="19" t="s">
        <v>15</v>
      </c>
      <c r="F15" s="9">
        <v>26700</v>
      </c>
      <c r="G15" s="10">
        <f t="shared" si="0"/>
        <v>53400</v>
      </c>
      <c r="H15" s="11">
        <v>17360</v>
      </c>
      <c r="I15" s="12">
        <f t="shared" si="1"/>
        <v>34720</v>
      </c>
      <c r="J15" s="13">
        <v>0.16</v>
      </c>
      <c r="K15" s="14" t="s">
        <v>27</v>
      </c>
    </row>
    <row r="16" spans="1:11" x14ac:dyDescent="0.2">
      <c r="A16" s="23">
        <v>15</v>
      </c>
      <c r="B16" s="24"/>
      <c r="C16" s="25" t="s">
        <v>31</v>
      </c>
      <c r="D16" s="26">
        <v>1</v>
      </c>
      <c r="E16" s="27" t="s">
        <v>15</v>
      </c>
      <c r="F16" s="28">
        <v>11900</v>
      </c>
      <c r="G16" s="29">
        <f t="shared" si="0"/>
        <v>11900</v>
      </c>
      <c r="H16" s="30">
        <v>7740</v>
      </c>
      <c r="I16" s="31">
        <f t="shared" si="1"/>
        <v>7740</v>
      </c>
      <c r="J16" s="32">
        <v>0.12</v>
      </c>
      <c r="K16" s="33" t="s">
        <v>27</v>
      </c>
    </row>
    <row r="17" spans="1:11" x14ac:dyDescent="0.2">
      <c r="A17" s="4">
        <v>16</v>
      </c>
      <c r="B17" s="5"/>
      <c r="C17" s="6" t="s">
        <v>32</v>
      </c>
      <c r="D17" s="7">
        <v>1</v>
      </c>
      <c r="E17" s="8" t="s">
        <v>15</v>
      </c>
      <c r="F17" s="9">
        <v>6510</v>
      </c>
      <c r="G17" s="10">
        <f t="shared" si="0"/>
        <v>6510</v>
      </c>
      <c r="H17" s="11">
        <v>4230</v>
      </c>
      <c r="I17" s="12">
        <f t="shared" si="1"/>
        <v>4230</v>
      </c>
      <c r="J17" s="13">
        <v>0.08</v>
      </c>
      <c r="K17" s="14" t="s">
        <v>27</v>
      </c>
    </row>
    <row r="18" spans="1:11" x14ac:dyDescent="0.2">
      <c r="A18" s="15">
        <v>17</v>
      </c>
      <c r="B18" s="16"/>
      <c r="C18" s="17" t="s">
        <v>33</v>
      </c>
      <c r="D18" s="18">
        <v>1</v>
      </c>
      <c r="E18" s="19" t="s">
        <v>15</v>
      </c>
      <c r="F18" s="20">
        <v>21200</v>
      </c>
      <c r="G18" s="10">
        <f t="shared" si="0"/>
        <v>21200</v>
      </c>
      <c r="H18" s="21">
        <v>13780</v>
      </c>
      <c r="I18" s="12">
        <f t="shared" si="1"/>
        <v>13780</v>
      </c>
      <c r="J18" s="22">
        <v>0.16</v>
      </c>
      <c r="K18" s="14" t="s">
        <v>27</v>
      </c>
    </row>
    <row r="19" spans="1:11" x14ac:dyDescent="0.2">
      <c r="A19" s="15">
        <v>18</v>
      </c>
      <c r="B19" s="16"/>
      <c r="C19" s="17" t="s">
        <v>34</v>
      </c>
      <c r="D19" s="18">
        <v>1</v>
      </c>
      <c r="E19" s="19" t="s">
        <v>15</v>
      </c>
      <c r="F19" s="20">
        <v>6080</v>
      </c>
      <c r="G19" s="10">
        <f t="shared" si="0"/>
        <v>6080</v>
      </c>
      <c r="H19" s="21">
        <v>3950</v>
      </c>
      <c r="I19" s="12">
        <f t="shared" si="1"/>
        <v>3950</v>
      </c>
      <c r="J19" s="22">
        <v>0.08</v>
      </c>
      <c r="K19" s="14" t="s">
        <v>27</v>
      </c>
    </row>
    <row r="20" spans="1:11" x14ac:dyDescent="0.2">
      <c r="A20" s="15">
        <v>19</v>
      </c>
      <c r="B20" s="16"/>
      <c r="C20" s="17" t="s">
        <v>35</v>
      </c>
      <c r="D20" s="18">
        <v>1</v>
      </c>
      <c r="E20" s="19" t="s">
        <v>20</v>
      </c>
      <c r="F20" s="20">
        <v>15500</v>
      </c>
      <c r="G20" s="10">
        <f t="shared" si="0"/>
        <v>15500</v>
      </c>
      <c r="H20" s="21">
        <v>2920</v>
      </c>
      <c r="I20" s="12">
        <f t="shared" si="1"/>
        <v>2920</v>
      </c>
      <c r="J20" s="22">
        <v>0.1</v>
      </c>
      <c r="K20" s="14" t="s">
        <v>27</v>
      </c>
    </row>
    <row r="21" spans="1:11" ht="18.600000000000001" thickBot="1" x14ac:dyDescent="0.25">
      <c r="A21" s="34">
        <v>20</v>
      </c>
      <c r="B21" s="35"/>
      <c r="C21" s="36" t="s">
        <v>36</v>
      </c>
      <c r="D21" s="37">
        <v>1</v>
      </c>
      <c r="E21" s="38" t="s">
        <v>13</v>
      </c>
      <c r="F21" s="39">
        <v>5000</v>
      </c>
      <c r="G21" s="40">
        <f t="shared" si="0"/>
        <v>5000</v>
      </c>
      <c r="H21" s="41">
        <v>3000</v>
      </c>
      <c r="I21" s="42">
        <f t="shared" si="1"/>
        <v>3000</v>
      </c>
      <c r="J21" s="43">
        <v>0</v>
      </c>
      <c r="K21" s="44"/>
    </row>
    <row r="22" spans="1:11" x14ac:dyDescent="0.2">
      <c r="A22" s="45">
        <v>21</v>
      </c>
      <c r="B22" s="5"/>
      <c r="C22" s="46" t="s">
        <v>37</v>
      </c>
      <c r="D22" s="47">
        <v>1</v>
      </c>
      <c r="E22" s="48" t="s">
        <v>13</v>
      </c>
      <c r="F22" s="49">
        <v>117000</v>
      </c>
      <c r="G22" s="10">
        <f t="shared" si="0"/>
        <v>117000</v>
      </c>
      <c r="H22" s="11">
        <v>73000</v>
      </c>
      <c r="I22" s="12">
        <f t="shared" si="1"/>
        <v>73000</v>
      </c>
      <c r="J22" s="13"/>
      <c r="K22" s="14">
        <v>2.4700000000000002</v>
      </c>
    </row>
    <row r="23" spans="1:11" x14ac:dyDescent="0.2">
      <c r="A23" s="15">
        <v>22</v>
      </c>
      <c r="B23" s="16"/>
      <c r="C23" s="17" t="s">
        <v>38</v>
      </c>
      <c r="D23" s="18">
        <v>1</v>
      </c>
      <c r="E23" s="19" t="s">
        <v>13</v>
      </c>
      <c r="F23" s="20">
        <v>5000</v>
      </c>
      <c r="G23" s="10">
        <f t="shared" si="0"/>
        <v>5000</v>
      </c>
      <c r="H23" s="21">
        <v>3000</v>
      </c>
      <c r="I23" s="12">
        <f t="shared" si="1"/>
        <v>3000</v>
      </c>
      <c r="J23" s="22"/>
      <c r="K23" s="14">
        <v>0.12</v>
      </c>
    </row>
    <row r="24" spans="1:11" x14ac:dyDescent="0.2">
      <c r="A24" s="15">
        <v>23</v>
      </c>
      <c r="B24" s="16"/>
      <c r="C24" s="17" t="s">
        <v>39</v>
      </c>
      <c r="D24" s="18">
        <v>1</v>
      </c>
      <c r="E24" s="19" t="s">
        <v>13</v>
      </c>
      <c r="F24" s="20">
        <v>15000</v>
      </c>
      <c r="G24" s="10">
        <f t="shared" si="0"/>
        <v>15000</v>
      </c>
      <c r="H24" s="21">
        <v>7500</v>
      </c>
      <c r="I24" s="12">
        <f t="shared" si="1"/>
        <v>7500</v>
      </c>
      <c r="J24" s="22">
        <v>0</v>
      </c>
      <c r="K24" s="14"/>
    </row>
    <row r="25" spans="1:11" x14ac:dyDescent="0.2">
      <c r="A25" s="4">
        <v>24</v>
      </c>
      <c r="B25" s="16"/>
      <c r="C25" s="17" t="s">
        <v>40</v>
      </c>
      <c r="D25" s="18">
        <v>1</v>
      </c>
      <c r="E25" s="19" t="s">
        <v>13</v>
      </c>
      <c r="F25" s="9">
        <v>1478750</v>
      </c>
      <c r="G25" s="10">
        <f t="shared" si="0"/>
        <v>1478750</v>
      </c>
      <c r="H25" s="11">
        <v>751310</v>
      </c>
      <c r="I25" s="12">
        <f t="shared" si="1"/>
        <v>751310</v>
      </c>
      <c r="J25" s="13"/>
      <c r="K25" s="14">
        <v>4.440000057220459</v>
      </c>
    </row>
  </sheetData>
  <phoneticPr fontId="3"/>
  <dataValidations count="1">
    <dataValidation imeMode="hiragana" allowBlank="1" showInputMessage="1" showErrorMessage="1" sqref="B3:B25" xr:uid="{FCFF7E1F-C2DD-4783-8770-C7B9377AD3C4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HB-407TGA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Yoshida Yuji</dc:creator>
  <cp:lastModifiedBy>Yoshida Yuji</cp:lastModifiedBy>
  <dcterms:created xsi:type="dcterms:W3CDTF">2026-04-17T01:15:56Z</dcterms:created>
  <dcterms:modified xsi:type="dcterms:W3CDTF">2026-04-17T01:16:40Z</dcterms:modified>
</cp:coreProperties>
</file>