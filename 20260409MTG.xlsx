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4237\Desktop\"/>
    </mc:Choice>
  </mc:AlternateContent>
  <xr:revisionPtr revIDLastSave="0" documentId="13_ncr:1_{DF212696-A15B-4C4E-81A3-A69104FD0541}" xr6:coauthVersionLast="47" xr6:coauthVersionMax="47" xr10:uidLastSave="{00000000-0000-0000-0000-000000000000}"/>
  <bookViews>
    <workbookView xWindow="22932" yWindow="-108" windowWidth="23256" windowHeight="12456" xr2:uid="{605A6033-448E-4ABB-AB60-C764DB2EEC84}"/>
  </bookViews>
  <sheets>
    <sheet name="開設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5" i="2" l="1"/>
  <c r="E26" i="2"/>
  <c r="E27" i="2"/>
  <c r="E28" i="2"/>
  <c r="E24" i="2"/>
  <c r="E29" i="2" s="1"/>
  <c r="E33" i="2"/>
  <c r="E34" i="2"/>
  <c r="E35" i="2"/>
  <c r="E36" i="2"/>
  <c r="E37" i="2"/>
  <c r="E38" i="2"/>
  <c r="E39" i="2"/>
  <c r="E32" i="2"/>
  <c r="E40" i="2" s="1"/>
</calcChain>
</file>

<file path=xl/sharedStrings.xml><?xml version="1.0" encoding="utf-8"?>
<sst xmlns="http://schemas.openxmlformats.org/spreadsheetml/2006/main" count="121" uniqueCount="40">
  <si>
    <t>①SGP鋼管(白)　40A</t>
  </si>
  <si>
    <t>m</t>
  </si>
  <si>
    <t>Cb</t>
  </si>
  <si>
    <t>①SGP鋼管(白)　25A</t>
  </si>
  <si>
    <t>①SGP鋼管(白)　15A</t>
  </si>
  <si>
    <t>①ｹﾞｰﾄ弁　40A</t>
  </si>
  <si>
    <t>個</t>
  </si>
  <si>
    <t>①ｹﾞｰﾄ弁　15A</t>
  </si>
  <si>
    <t>①ﾁｬｯｷ弁　40A(ｽｲﾝｸﾞ)</t>
  </si>
  <si>
    <t>①Yｽﾄﾚｰﾅ　15A</t>
  </si>
  <si>
    <t>①配管継手類</t>
  </si>
  <si>
    <t>式</t>
  </si>
  <si>
    <t>④配管工事費</t>
  </si>
  <si>
    <t>④配管塗装工事</t>
    <rPh sb="1" eb="3">
      <t>ハイカン</t>
    </rPh>
    <rPh sb="3" eb="5">
      <t>トソウ</t>
    </rPh>
    <rPh sb="5" eb="7">
      <t>コウジ</t>
    </rPh>
    <phoneticPr fontId="1"/>
  </si>
  <si>
    <t>歩工合計×単価　or 歩工合計×単価×減衰</t>
    <rPh sb="0" eb="1">
      <t>ホ</t>
    </rPh>
    <rPh sb="1" eb="2">
      <t>コウ</t>
    </rPh>
    <rPh sb="2" eb="4">
      <t>ゴウケイ</t>
    </rPh>
    <rPh sb="5" eb="7">
      <t>タンカ</t>
    </rPh>
    <rPh sb="19" eb="21">
      <t>ゲンスイ</t>
    </rPh>
    <phoneticPr fontId="2"/>
  </si>
  <si>
    <t>減衰ボタン押下で減衰計算を表記し、確認後修正し確定している</t>
    <rPh sb="0" eb="2">
      <t>ゲンスイ</t>
    </rPh>
    <rPh sb="5" eb="7">
      <t>オウカ</t>
    </rPh>
    <rPh sb="8" eb="10">
      <t>ゲンスイ</t>
    </rPh>
    <rPh sb="10" eb="12">
      <t>ケイサン</t>
    </rPh>
    <rPh sb="13" eb="15">
      <t>ヒョウキ</t>
    </rPh>
    <rPh sb="17" eb="19">
      <t>カクニン</t>
    </rPh>
    <rPh sb="19" eb="20">
      <t>ゴ</t>
    </rPh>
    <rPh sb="20" eb="22">
      <t>シュウセイ</t>
    </rPh>
    <rPh sb="23" eb="25">
      <t>カクテイ</t>
    </rPh>
    <phoneticPr fontId="2"/>
  </si>
  <si>
    <t>人工数を手修正（微調整）で再計算可能</t>
    <rPh sb="0" eb="3">
      <t>ニンクスウ</t>
    </rPh>
    <rPh sb="4" eb="7">
      <t>テシュウセイ</t>
    </rPh>
    <rPh sb="8" eb="11">
      <t>ビチョウセイ</t>
    </rPh>
    <rPh sb="13" eb="16">
      <t>サイケイサン</t>
    </rPh>
    <rPh sb="16" eb="18">
      <t>カノウ</t>
    </rPh>
    <phoneticPr fontId="2"/>
  </si>
  <si>
    <t>SHB-310TK</t>
  </si>
  <si>
    <t>工単価</t>
    <rPh sb="0" eb="1">
      <t>コウ</t>
    </rPh>
    <rPh sb="1" eb="3">
      <t>タンカ</t>
    </rPh>
    <phoneticPr fontId="2"/>
  </si>
  <si>
    <t>工原価</t>
    <rPh sb="0" eb="1">
      <t>コウ</t>
    </rPh>
    <rPh sb="1" eb="3">
      <t>ゲンカ</t>
    </rPh>
    <phoneticPr fontId="2"/>
  </si>
  <si>
    <t>○ｼｮｳｵﾝﾎﾞｲﾗ　SHB-310TK</t>
  </si>
  <si>
    <t>台</t>
  </si>
  <si>
    <t>④同上搬入据付工事</t>
  </si>
  <si>
    <t>③感震器　BES-100</t>
  </si>
  <si>
    <t xml:space="preserve">○煙突ｾｯﾄ　BEP-HB1201     </t>
  </si>
  <si>
    <t>ｾｯﾄ</t>
  </si>
  <si>
    <t>○煙突直管 　φ120</t>
  </si>
  <si>
    <t>本</t>
  </si>
  <si>
    <t>○煙突ｴﾋﾞﾏｶﾞﾘ 　φ120</t>
  </si>
  <si>
    <t>②煙突支持金具</t>
    <rPh sb="3" eb="5">
      <t>シジ</t>
    </rPh>
    <rPh sb="5" eb="7">
      <t>カナグ</t>
    </rPh>
    <phoneticPr fontId="1"/>
  </si>
  <si>
    <t>④煙道・煙突取付工事</t>
  </si>
  <si>
    <t>④煙道断熱工事　ﾛｯｸｳｰﾙ</t>
    <rPh sb="3" eb="5">
      <t>ダンネツ</t>
    </rPh>
    <rPh sb="5" eb="7">
      <t>コウジ</t>
    </rPh>
    <phoneticPr fontId="1"/>
  </si>
  <si>
    <t>②消耗品雑材</t>
  </si>
  <si>
    <t>歩単</t>
    <rPh sb="0" eb="1">
      <t>ホ</t>
    </rPh>
    <rPh sb="1" eb="2">
      <t>タン</t>
    </rPh>
    <phoneticPr fontId="2"/>
  </si>
  <si>
    <t>歩工</t>
    <rPh sb="0" eb="1">
      <t>ホ</t>
    </rPh>
    <rPh sb="1" eb="2">
      <t>コウ</t>
    </rPh>
    <phoneticPr fontId="2"/>
  </si>
  <si>
    <t>A列9行の「④煙道・煙突取付工事」の「歩工＝0.7」は</t>
  </si>
  <si>
    <t>A列4行から8行のそれぞれの「歩工」×「数量」の合計</t>
  </si>
  <si>
    <t>②煙突支持金具</t>
  </si>
  <si>
    <t>A列19行の「④配管工事費」の「歩工＝2.44」は</t>
  </si>
  <si>
    <t>A列11行から18行のそれぞれの「歩工」×「数量」の合計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</si>
</sst>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00_ 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1" xfId="0" applyBorder="1">
      <alignment vertical="center"/>
    </xf>
    <xf numFmtId="17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632460</xdr:colOff>
      <xdr:row>0</xdr:row>
      <xdr:rowOff>45720</xdr:rowOff>
    </xdr:from>
    <xdr:to>
      <xdr:col>17</xdr:col>
      <xdr:colOff>605044</xdr:colOff>
      <xdr:row>21</xdr:row>
      <xdr:rowOff>71041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7456424-124E-6B38-8F45-B93A10775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99960" y="45720"/>
          <a:ext cx="6007624" cy="48259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C1B7A-9EB7-4161-80BE-579670E30C46}">
  <dimension ref="A1:K41"/>
  <sheetViews>
    <sheetView tabSelected="1" topLeftCell="A19" workbookViewId="0">
      <selection activeCell="G27" sqref="G27"/>
    </sheetView>
  </sheetViews>
  <sheetFormatPr defaultRowHeight="18" x14ac:dyDescent="0.45"/>
  <cols>
    <col min="1" max="1" width="25.8984375" bestFit="1" customWidth="1"/>
  </cols>
  <sheetData>
    <row r="1" spans="1:7" x14ac:dyDescent="0.45">
      <c r="A1" t="s">
        <v>17</v>
      </c>
      <c r="D1" t="s">
        <v>18</v>
      </c>
      <c r="E1" t="s">
        <v>19</v>
      </c>
      <c r="F1" t="s">
        <v>33</v>
      </c>
      <c r="G1" t="s">
        <v>34</v>
      </c>
    </row>
    <row r="2" spans="1:7" x14ac:dyDescent="0.45">
      <c r="A2" s="3" t="s">
        <v>20</v>
      </c>
      <c r="B2" s="3">
        <v>1</v>
      </c>
      <c r="C2" s="3" t="s">
        <v>21</v>
      </c>
      <c r="D2" s="3">
        <v>541000</v>
      </c>
      <c r="E2" s="3">
        <v>245260</v>
      </c>
      <c r="F2" s="3">
        <v>1</v>
      </c>
      <c r="G2" s="3"/>
    </row>
    <row r="3" spans="1:7" x14ac:dyDescent="0.45">
      <c r="A3" s="3" t="s">
        <v>22</v>
      </c>
      <c r="B3" s="3">
        <v>1</v>
      </c>
      <c r="C3" s="3" t="s">
        <v>11</v>
      </c>
      <c r="D3" s="3">
        <v>48000</v>
      </c>
      <c r="E3" s="3">
        <v>29000</v>
      </c>
      <c r="F3" s="3"/>
      <c r="G3" s="3">
        <v>1</v>
      </c>
    </row>
    <row r="4" spans="1:7" x14ac:dyDescent="0.45">
      <c r="A4" s="3" t="s">
        <v>23</v>
      </c>
      <c r="B4" s="3">
        <v>1</v>
      </c>
      <c r="C4" s="3" t="s">
        <v>6</v>
      </c>
      <c r="D4" s="3">
        <v>20100</v>
      </c>
      <c r="E4" s="3">
        <v>5690</v>
      </c>
      <c r="F4" s="3">
        <v>0</v>
      </c>
      <c r="G4" s="3"/>
    </row>
    <row r="5" spans="1:7" x14ac:dyDescent="0.45">
      <c r="A5" s="3" t="s">
        <v>24</v>
      </c>
      <c r="B5" s="3">
        <v>1</v>
      </c>
      <c r="C5" s="3" t="s">
        <v>25</v>
      </c>
      <c r="D5" s="3">
        <v>69000</v>
      </c>
      <c r="E5" s="3">
        <v>24780</v>
      </c>
      <c r="F5" s="3">
        <v>0.5</v>
      </c>
      <c r="G5" s="3"/>
    </row>
    <row r="6" spans="1:7" x14ac:dyDescent="0.45">
      <c r="A6" s="3" t="s">
        <v>26</v>
      </c>
      <c r="B6" s="3">
        <v>1</v>
      </c>
      <c r="C6" s="3" t="s">
        <v>27</v>
      </c>
      <c r="D6" s="3">
        <v>8900</v>
      </c>
      <c r="E6" s="3">
        <v>2130</v>
      </c>
      <c r="F6" s="3">
        <v>0.1</v>
      </c>
      <c r="G6" s="3"/>
    </row>
    <row r="7" spans="1:7" x14ac:dyDescent="0.45">
      <c r="A7" s="3" t="s">
        <v>28</v>
      </c>
      <c r="B7" s="3">
        <v>1</v>
      </c>
      <c r="C7" s="3" t="s">
        <v>6</v>
      </c>
      <c r="D7" s="3">
        <v>6820</v>
      </c>
      <c r="E7" s="3">
        <v>1380</v>
      </c>
      <c r="F7" s="3">
        <v>0.1</v>
      </c>
      <c r="G7" s="3"/>
    </row>
    <row r="8" spans="1:7" x14ac:dyDescent="0.45">
      <c r="A8" s="3" t="s">
        <v>29</v>
      </c>
      <c r="B8" s="3">
        <v>1</v>
      </c>
      <c r="C8" s="3" t="s">
        <v>11</v>
      </c>
      <c r="D8" s="3">
        <v>18000</v>
      </c>
      <c r="E8" s="3">
        <v>12000</v>
      </c>
      <c r="F8" s="3">
        <v>0</v>
      </c>
      <c r="G8" s="3"/>
    </row>
    <row r="9" spans="1:7" x14ac:dyDescent="0.45">
      <c r="A9" s="3" t="s">
        <v>30</v>
      </c>
      <c r="B9" s="3">
        <v>1</v>
      </c>
      <c r="C9" s="3" t="s">
        <v>11</v>
      </c>
      <c r="D9" s="3">
        <v>33000</v>
      </c>
      <c r="E9" s="3">
        <v>21000</v>
      </c>
      <c r="F9" s="3"/>
      <c r="G9" s="3">
        <v>0.7</v>
      </c>
    </row>
    <row r="10" spans="1:7" x14ac:dyDescent="0.45">
      <c r="A10" s="3" t="s">
        <v>31</v>
      </c>
      <c r="B10" s="3">
        <v>1</v>
      </c>
      <c r="C10" s="3" t="s">
        <v>11</v>
      </c>
      <c r="D10" s="3">
        <v>15000</v>
      </c>
      <c r="E10" s="3">
        <v>10000</v>
      </c>
      <c r="F10" s="3">
        <v>0</v>
      </c>
      <c r="G10" s="3"/>
    </row>
    <row r="11" spans="1:7" x14ac:dyDescent="0.45">
      <c r="A11" s="3" t="s">
        <v>0</v>
      </c>
      <c r="B11" s="3">
        <v>4</v>
      </c>
      <c r="C11" s="3" t="s">
        <v>1</v>
      </c>
      <c r="D11" s="3">
        <v>6800</v>
      </c>
      <c r="E11" s="3">
        <v>3810</v>
      </c>
      <c r="F11" s="3">
        <v>0.23</v>
      </c>
      <c r="G11" s="3"/>
    </row>
    <row r="12" spans="1:7" x14ac:dyDescent="0.45">
      <c r="A12" s="3" t="s">
        <v>3</v>
      </c>
      <c r="B12" s="3">
        <v>4</v>
      </c>
      <c r="C12" s="3" t="s">
        <v>1</v>
      </c>
      <c r="D12" s="3">
        <v>4470</v>
      </c>
      <c r="E12" s="3">
        <v>2500</v>
      </c>
      <c r="F12" s="3">
        <v>0.17</v>
      </c>
      <c r="G12" s="3"/>
    </row>
    <row r="13" spans="1:7" x14ac:dyDescent="0.45">
      <c r="A13" s="3" t="s">
        <v>4</v>
      </c>
      <c r="B13" s="3">
        <v>4</v>
      </c>
      <c r="C13" s="3" t="s">
        <v>1</v>
      </c>
      <c r="D13" s="3">
        <v>2610</v>
      </c>
      <c r="E13" s="3">
        <v>1460</v>
      </c>
      <c r="F13" s="3">
        <v>0.12</v>
      </c>
      <c r="G13" s="3"/>
    </row>
    <row r="14" spans="1:7" x14ac:dyDescent="0.45">
      <c r="A14" s="3" t="s">
        <v>5</v>
      </c>
      <c r="B14" s="3">
        <v>2</v>
      </c>
      <c r="C14" s="3" t="s">
        <v>6</v>
      </c>
      <c r="D14" s="3">
        <v>30800</v>
      </c>
      <c r="E14" s="3">
        <v>20020</v>
      </c>
      <c r="F14" s="3">
        <v>0.16</v>
      </c>
      <c r="G14" s="3"/>
    </row>
    <row r="15" spans="1:7" x14ac:dyDescent="0.45">
      <c r="A15" s="3" t="s">
        <v>7</v>
      </c>
      <c r="B15" s="3">
        <v>2</v>
      </c>
      <c r="C15" s="3" t="s">
        <v>6</v>
      </c>
      <c r="D15" s="3">
        <v>7490</v>
      </c>
      <c r="E15" s="3">
        <v>4870</v>
      </c>
      <c r="F15" s="3">
        <v>0.08</v>
      </c>
      <c r="G15" s="3"/>
    </row>
    <row r="16" spans="1:7" x14ac:dyDescent="0.45">
      <c r="A16" s="3" t="s">
        <v>8</v>
      </c>
      <c r="B16" s="3">
        <v>1</v>
      </c>
      <c r="C16" s="3" t="s">
        <v>6</v>
      </c>
      <c r="D16" s="3">
        <v>27000</v>
      </c>
      <c r="E16" s="3">
        <v>17550</v>
      </c>
      <c r="F16" s="3">
        <v>0.16</v>
      </c>
      <c r="G16" s="3"/>
    </row>
    <row r="17" spans="1:11" x14ac:dyDescent="0.45">
      <c r="A17" s="3" t="s">
        <v>9</v>
      </c>
      <c r="B17" s="3">
        <v>1</v>
      </c>
      <c r="C17" s="3" t="s">
        <v>6</v>
      </c>
      <c r="D17" s="3">
        <v>7710</v>
      </c>
      <c r="E17" s="3">
        <v>5010</v>
      </c>
      <c r="F17" s="3">
        <v>0.08</v>
      </c>
      <c r="G17" s="3"/>
    </row>
    <row r="18" spans="1:11" x14ac:dyDescent="0.45">
      <c r="A18" s="3" t="s">
        <v>10</v>
      </c>
      <c r="B18" s="3">
        <v>1</v>
      </c>
      <c r="C18" s="3" t="s">
        <v>11</v>
      </c>
      <c r="D18" s="3">
        <v>5000</v>
      </c>
      <c r="E18" s="3">
        <v>3000</v>
      </c>
      <c r="F18" s="3">
        <v>0</v>
      </c>
      <c r="G18" s="3"/>
    </row>
    <row r="19" spans="1:11" x14ac:dyDescent="0.45">
      <c r="A19" s="3" t="s">
        <v>12</v>
      </c>
      <c r="B19" s="3">
        <v>1</v>
      </c>
      <c r="C19" s="3" t="s">
        <v>11</v>
      </c>
      <c r="D19" s="3">
        <v>116000</v>
      </c>
      <c r="E19" s="3">
        <v>72000</v>
      </c>
      <c r="F19" s="3"/>
      <c r="G19" s="3">
        <v>2.44</v>
      </c>
    </row>
    <row r="20" spans="1:11" x14ac:dyDescent="0.45">
      <c r="A20" s="3" t="s">
        <v>13</v>
      </c>
      <c r="B20" s="3">
        <v>1</v>
      </c>
      <c r="C20" s="3" t="s">
        <v>11</v>
      </c>
      <c r="D20" s="3">
        <v>5000</v>
      </c>
      <c r="E20" s="3">
        <v>3000</v>
      </c>
      <c r="F20" s="3"/>
      <c r="G20" s="3">
        <v>0.12</v>
      </c>
    </row>
    <row r="21" spans="1:11" x14ac:dyDescent="0.45">
      <c r="A21" s="3" t="s">
        <v>32</v>
      </c>
      <c r="B21" s="3">
        <v>1</v>
      </c>
      <c r="C21" s="3" t="s">
        <v>11</v>
      </c>
      <c r="D21" s="3">
        <v>15000</v>
      </c>
      <c r="E21" s="3">
        <v>7500</v>
      </c>
      <c r="F21" s="3">
        <v>0</v>
      </c>
      <c r="G21" s="3"/>
    </row>
    <row r="24" spans="1:11" x14ac:dyDescent="0.45">
      <c r="A24" s="3" t="s">
        <v>23</v>
      </c>
      <c r="C24" s="3">
        <v>1</v>
      </c>
      <c r="D24" s="3">
        <v>0</v>
      </c>
      <c r="E24" s="3">
        <f>C24*D24</f>
        <v>0</v>
      </c>
      <c r="H24" t="s">
        <v>35</v>
      </c>
    </row>
    <row r="25" spans="1:11" x14ac:dyDescent="0.45">
      <c r="A25" s="3" t="s">
        <v>24</v>
      </c>
      <c r="C25" s="3">
        <v>1</v>
      </c>
      <c r="D25" s="3">
        <v>0.5</v>
      </c>
      <c r="E25" s="3">
        <f t="shared" ref="E25:E28" si="0">C25*D25</f>
        <v>0.5</v>
      </c>
      <c r="H25" t="s">
        <v>36</v>
      </c>
    </row>
    <row r="26" spans="1:11" x14ac:dyDescent="0.45">
      <c r="A26" s="3" t="s">
        <v>26</v>
      </c>
      <c r="C26" s="3">
        <v>1</v>
      </c>
      <c r="D26" s="3">
        <v>0.1</v>
      </c>
      <c r="E26" s="3">
        <f t="shared" si="0"/>
        <v>0.1</v>
      </c>
      <c r="H26" t="s">
        <v>23</v>
      </c>
      <c r="I26">
        <v>1</v>
      </c>
      <c r="J26" t="s">
        <v>6</v>
      </c>
      <c r="K26">
        <v>0</v>
      </c>
    </row>
    <row r="27" spans="1:11" x14ac:dyDescent="0.45">
      <c r="A27" s="3" t="s">
        <v>28</v>
      </c>
      <c r="C27" s="3">
        <v>1</v>
      </c>
      <c r="D27" s="3">
        <v>0.1</v>
      </c>
      <c r="E27" s="3">
        <f t="shared" si="0"/>
        <v>0.1</v>
      </c>
      <c r="H27" t="s">
        <v>24</v>
      </c>
      <c r="I27">
        <v>1</v>
      </c>
      <c r="J27" t="s">
        <v>25</v>
      </c>
      <c r="K27">
        <v>0.5</v>
      </c>
    </row>
    <row r="28" spans="1:11" x14ac:dyDescent="0.45">
      <c r="A28" s="3" t="s">
        <v>29</v>
      </c>
      <c r="C28" s="3">
        <v>1</v>
      </c>
      <c r="D28" s="3">
        <v>0</v>
      </c>
      <c r="E28" s="3">
        <f t="shared" si="0"/>
        <v>0</v>
      </c>
      <c r="H28" t="s">
        <v>26</v>
      </c>
      <c r="I28">
        <v>1</v>
      </c>
      <c r="J28" t="s">
        <v>27</v>
      </c>
      <c r="K28">
        <v>0.1</v>
      </c>
    </row>
    <row r="29" spans="1:11" x14ac:dyDescent="0.45">
      <c r="A29" s="3" t="s">
        <v>30</v>
      </c>
      <c r="C29" s="3">
        <v>1</v>
      </c>
      <c r="D29" s="3"/>
      <c r="E29" s="3">
        <f>SUM(E24:E28)</f>
        <v>0.7</v>
      </c>
      <c r="H29" t="s">
        <v>28</v>
      </c>
      <c r="I29">
        <v>1</v>
      </c>
      <c r="J29" t="s">
        <v>6</v>
      </c>
      <c r="K29">
        <v>0.1</v>
      </c>
    </row>
    <row r="30" spans="1:11" x14ac:dyDescent="0.45">
      <c r="H30" t="s">
        <v>37</v>
      </c>
      <c r="I30">
        <v>1</v>
      </c>
      <c r="J30" t="s">
        <v>11</v>
      </c>
      <c r="K30">
        <v>0</v>
      </c>
    </row>
    <row r="32" spans="1:11" x14ac:dyDescent="0.45">
      <c r="A32" s="3" t="s">
        <v>0</v>
      </c>
      <c r="C32" s="3">
        <v>4</v>
      </c>
      <c r="D32" s="3">
        <v>0.23</v>
      </c>
      <c r="E32">
        <f>C32*D32</f>
        <v>0.92</v>
      </c>
      <c r="H32" t="s">
        <v>38</v>
      </c>
    </row>
    <row r="33" spans="1:11" x14ac:dyDescent="0.45">
      <c r="A33" s="3" t="s">
        <v>3</v>
      </c>
      <c r="C33" s="3">
        <v>4</v>
      </c>
      <c r="D33" s="3">
        <v>0.17</v>
      </c>
      <c r="E33">
        <f t="shared" ref="E33:E39" si="1">C33*D33</f>
        <v>0.68</v>
      </c>
      <c r="H33" t="s">
        <v>39</v>
      </c>
    </row>
    <row r="34" spans="1:11" x14ac:dyDescent="0.45">
      <c r="A34" s="3" t="s">
        <v>4</v>
      </c>
      <c r="C34" s="3">
        <v>4</v>
      </c>
      <c r="D34" s="3">
        <v>0.12</v>
      </c>
      <c r="E34">
        <f t="shared" si="1"/>
        <v>0.48</v>
      </c>
      <c r="H34" t="s">
        <v>0</v>
      </c>
      <c r="I34">
        <v>4</v>
      </c>
      <c r="J34" t="s">
        <v>1</v>
      </c>
      <c r="K34">
        <v>0.23</v>
      </c>
    </row>
    <row r="35" spans="1:11" x14ac:dyDescent="0.45">
      <c r="A35" s="3" t="s">
        <v>5</v>
      </c>
      <c r="C35" s="3">
        <v>2</v>
      </c>
      <c r="D35" s="3">
        <v>0.16</v>
      </c>
      <c r="E35">
        <f t="shared" si="1"/>
        <v>0.32</v>
      </c>
      <c r="H35" t="s">
        <v>3</v>
      </c>
      <c r="I35">
        <v>4</v>
      </c>
      <c r="J35" t="s">
        <v>1</v>
      </c>
      <c r="K35">
        <v>0.17</v>
      </c>
    </row>
    <row r="36" spans="1:11" x14ac:dyDescent="0.45">
      <c r="A36" s="3" t="s">
        <v>7</v>
      </c>
      <c r="C36" s="3">
        <v>2</v>
      </c>
      <c r="D36" s="3">
        <v>0.08</v>
      </c>
      <c r="E36">
        <f t="shared" si="1"/>
        <v>0.16</v>
      </c>
      <c r="H36" t="s">
        <v>4</v>
      </c>
      <c r="I36">
        <v>4</v>
      </c>
      <c r="J36" t="s">
        <v>1</v>
      </c>
      <c r="K36">
        <v>0.12</v>
      </c>
    </row>
    <row r="37" spans="1:11" x14ac:dyDescent="0.45">
      <c r="A37" s="3" t="s">
        <v>8</v>
      </c>
      <c r="C37" s="3">
        <v>1</v>
      </c>
      <c r="D37" s="3">
        <v>0.16</v>
      </c>
      <c r="E37">
        <f t="shared" si="1"/>
        <v>0.16</v>
      </c>
      <c r="H37" t="s">
        <v>5</v>
      </c>
      <c r="I37">
        <v>2</v>
      </c>
      <c r="J37" t="s">
        <v>6</v>
      </c>
      <c r="K37">
        <v>0.16</v>
      </c>
    </row>
    <row r="38" spans="1:11" x14ac:dyDescent="0.45">
      <c r="A38" s="3" t="s">
        <v>9</v>
      </c>
      <c r="C38" s="3">
        <v>1</v>
      </c>
      <c r="D38" s="3">
        <v>0.08</v>
      </c>
      <c r="E38">
        <f t="shared" si="1"/>
        <v>0.08</v>
      </c>
      <c r="F38" s="4"/>
      <c r="H38" t="s">
        <v>7</v>
      </c>
      <c r="I38">
        <v>2</v>
      </c>
      <c r="J38" t="s">
        <v>6</v>
      </c>
      <c r="K38">
        <v>0.08</v>
      </c>
    </row>
    <row r="39" spans="1:11" x14ac:dyDescent="0.45">
      <c r="A39" s="3" t="s">
        <v>10</v>
      </c>
      <c r="C39" s="3">
        <v>1</v>
      </c>
      <c r="D39" s="3">
        <v>0</v>
      </c>
      <c r="E39">
        <f t="shared" si="1"/>
        <v>0</v>
      </c>
      <c r="H39" t="s">
        <v>8</v>
      </c>
      <c r="I39">
        <v>1</v>
      </c>
      <c r="J39" t="s">
        <v>6</v>
      </c>
      <c r="K39">
        <v>0.16</v>
      </c>
    </row>
    <row r="40" spans="1:11" x14ac:dyDescent="0.45">
      <c r="A40" s="3" t="s">
        <v>12</v>
      </c>
      <c r="E40">
        <f>SUM(E32:E39)</f>
        <v>2.8000000000000003</v>
      </c>
      <c r="H40" t="s">
        <v>9</v>
      </c>
      <c r="I40">
        <v>1</v>
      </c>
      <c r="J40" t="s">
        <v>6</v>
      </c>
      <c r="K40">
        <v>0.08</v>
      </c>
    </row>
    <row r="41" spans="1:11" x14ac:dyDescent="0.45">
      <c r="H41" t="s">
        <v>10</v>
      </c>
      <c r="I41">
        <v>1</v>
      </c>
      <c r="J41" t="s">
        <v>11</v>
      </c>
      <c r="K41">
        <v>0</v>
      </c>
    </row>
  </sheetData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3C1A7-111D-46A3-BD64-356DA410552A}">
  <dimension ref="A1:K19"/>
  <sheetViews>
    <sheetView workbookViewId="0">
      <selection activeCell="B16" sqref="B16"/>
    </sheetView>
  </sheetViews>
  <sheetFormatPr defaultRowHeight="18" x14ac:dyDescent="0.45"/>
  <cols>
    <col min="1" max="1" width="22" bestFit="1" customWidth="1"/>
    <col min="8" max="8" width="15.59765625" customWidth="1"/>
  </cols>
  <sheetData>
    <row r="1" spans="1:8" x14ac:dyDescent="0.45">
      <c r="A1" t="s">
        <v>0</v>
      </c>
      <c r="B1">
        <v>4</v>
      </c>
      <c r="C1" t="s">
        <v>1</v>
      </c>
      <c r="D1">
        <v>6800</v>
      </c>
      <c r="E1">
        <v>3810</v>
      </c>
      <c r="F1" s="1">
        <v>0.23</v>
      </c>
      <c r="G1" t="s">
        <v>2</v>
      </c>
      <c r="H1" s="1" t="s">
        <v>12</v>
      </c>
    </row>
    <row r="2" spans="1:8" x14ac:dyDescent="0.45">
      <c r="A2" t="s">
        <v>3</v>
      </c>
      <c r="B2">
        <v>4</v>
      </c>
      <c r="C2" t="s">
        <v>1</v>
      </c>
      <c r="D2">
        <v>4470</v>
      </c>
      <c r="E2">
        <v>2500</v>
      </c>
      <c r="F2" s="1">
        <v>0.17</v>
      </c>
      <c r="G2" t="s">
        <v>2</v>
      </c>
    </row>
    <row r="3" spans="1:8" x14ac:dyDescent="0.45">
      <c r="A3" t="s">
        <v>4</v>
      </c>
      <c r="B3">
        <v>4</v>
      </c>
      <c r="C3" t="s">
        <v>1</v>
      </c>
      <c r="D3">
        <v>2610</v>
      </c>
      <c r="E3">
        <v>1460</v>
      </c>
      <c r="F3" s="1">
        <v>0.12</v>
      </c>
      <c r="G3" t="s">
        <v>2</v>
      </c>
    </row>
    <row r="4" spans="1:8" x14ac:dyDescent="0.45">
      <c r="A4" t="s">
        <v>5</v>
      </c>
      <c r="B4">
        <v>2</v>
      </c>
      <c r="C4" t="s">
        <v>6</v>
      </c>
      <c r="D4">
        <v>30800</v>
      </c>
      <c r="E4">
        <v>20020</v>
      </c>
      <c r="F4" s="1">
        <v>0.16</v>
      </c>
      <c r="G4" t="s">
        <v>2</v>
      </c>
    </row>
    <row r="5" spans="1:8" x14ac:dyDescent="0.45">
      <c r="A5" t="s">
        <v>7</v>
      </c>
      <c r="B5">
        <v>2</v>
      </c>
      <c r="C5" t="s">
        <v>6</v>
      </c>
      <c r="D5">
        <v>7490</v>
      </c>
      <c r="E5">
        <v>4870</v>
      </c>
      <c r="F5" s="1">
        <v>0.08</v>
      </c>
      <c r="G5" t="s">
        <v>2</v>
      </c>
    </row>
    <row r="6" spans="1:8" x14ac:dyDescent="0.45">
      <c r="A6" t="s">
        <v>8</v>
      </c>
      <c r="B6">
        <v>1</v>
      </c>
      <c r="C6" t="s">
        <v>6</v>
      </c>
      <c r="D6">
        <v>27000</v>
      </c>
      <c r="E6">
        <v>17550</v>
      </c>
      <c r="F6" s="1">
        <v>0.16</v>
      </c>
      <c r="G6" t="s">
        <v>2</v>
      </c>
    </row>
    <row r="7" spans="1:8" x14ac:dyDescent="0.45">
      <c r="A7" t="s">
        <v>9</v>
      </c>
      <c r="B7">
        <v>1</v>
      </c>
      <c r="C7" t="s">
        <v>6</v>
      </c>
      <c r="D7">
        <v>7710</v>
      </c>
      <c r="E7">
        <v>5010</v>
      </c>
      <c r="F7" s="1">
        <v>0.08</v>
      </c>
      <c r="G7" t="s">
        <v>2</v>
      </c>
    </row>
    <row r="8" spans="1:8" x14ac:dyDescent="0.45">
      <c r="A8" t="s">
        <v>10</v>
      </c>
      <c r="B8">
        <v>1</v>
      </c>
      <c r="C8" t="s">
        <v>11</v>
      </c>
      <c r="D8">
        <v>5000</v>
      </c>
      <c r="E8">
        <v>3000</v>
      </c>
      <c r="F8" s="1">
        <v>0</v>
      </c>
    </row>
    <row r="9" spans="1:8" x14ac:dyDescent="0.45">
      <c r="A9" s="1" t="s">
        <v>12</v>
      </c>
      <c r="B9">
        <v>1</v>
      </c>
      <c r="C9" t="s">
        <v>11</v>
      </c>
      <c r="D9">
        <v>116000</v>
      </c>
      <c r="E9">
        <v>72000</v>
      </c>
      <c r="G9" s="1">
        <v>2.44</v>
      </c>
    </row>
    <row r="13" spans="1:8" x14ac:dyDescent="0.45">
      <c r="A13" t="s">
        <v>13</v>
      </c>
      <c r="B13">
        <v>1</v>
      </c>
      <c r="C13" t="s">
        <v>11</v>
      </c>
      <c r="D13">
        <v>5000</v>
      </c>
      <c r="E13">
        <v>3000</v>
      </c>
      <c r="G13" s="2">
        <v>0.12</v>
      </c>
    </row>
    <row r="17" spans="7:11" x14ac:dyDescent="0.45">
      <c r="G17" t="s">
        <v>14</v>
      </c>
      <c r="K17" t="s">
        <v>16</v>
      </c>
    </row>
    <row r="19" spans="7:11" x14ac:dyDescent="0.45">
      <c r="G19" t="s">
        <v>15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開設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Yoshida Yuji</dc:creator>
  <cp:lastModifiedBy>Yoshida Yuji</cp:lastModifiedBy>
  <dcterms:created xsi:type="dcterms:W3CDTF">2026-04-09T09:21:10Z</dcterms:created>
  <dcterms:modified xsi:type="dcterms:W3CDTF">2026-04-10T06:38:39Z</dcterms:modified>
</cp:coreProperties>
</file>